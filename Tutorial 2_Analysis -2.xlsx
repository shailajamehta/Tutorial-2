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alysis" sheetId="1" r:id="rId5"/>
    <sheet state="visible" name="calculation" sheetId="2" r:id="rId6"/>
  </sheets>
  <definedNames/>
  <calcPr/>
</workbook>
</file>

<file path=xl/sharedStrings.xml><?xml version="1.0" encoding="utf-8"?>
<sst xmlns="http://schemas.openxmlformats.org/spreadsheetml/2006/main" count="37" uniqueCount="33">
  <si>
    <t>Signal Detection Analysis</t>
  </si>
  <si>
    <t>CONDITION</t>
  </si>
  <si>
    <t>Respond YES</t>
  </si>
  <si>
    <t>Respond NO</t>
  </si>
  <si>
    <t>Measure</t>
  </si>
  <si>
    <t>Value</t>
  </si>
  <si>
    <t>Signal Present</t>
  </si>
  <si>
    <t>Hit Rate</t>
  </si>
  <si>
    <t>Signal Absent</t>
  </si>
  <si>
    <t>False Alarm Rate</t>
  </si>
  <si>
    <t>d′</t>
  </si>
  <si>
    <t>Criterion (c)</t>
  </si>
  <si>
    <t>Number of observations</t>
  </si>
  <si>
    <t xml:space="preserve">hits </t>
  </si>
  <si>
    <t>Misses</t>
  </si>
  <si>
    <t xml:space="preserve">False alarms </t>
  </si>
  <si>
    <t xml:space="preserve">Correct rejections </t>
  </si>
  <si>
    <t xml:space="preserve">Hit rate </t>
  </si>
  <si>
    <t xml:space="preserve">False alarm rate </t>
  </si>
  <si>
    <t xml:space="preserve">d' </t>
  </si>
  <si>
    <t xml:space="preserve">Criterion (c) </t>
  </si>
  <si>
    <t xml:space="preserve">Respond Yes </t>
  </si>
  <si>
    <t>Respond No</t>
  </si>
  <si>
    <t>prop hit = hit/hit+miss</t>
  </si>
  <si>
    <t xml:space="preserve">Signal Present </t>
  </si>
  <si>
    <t xml:space="preserve">Hit </t>
  </si>
  <si>
    <t>Miss</t>
  </si>
  <si>
    <t>prop fa = fa/fa+corr rejection</t>
  </si>
  <si>
    <t xml:space="preserve">False Alarm </t>
  </si>
  <si>
    <t xml:space="preserve">Correct Rejection </t>
  </si>
  <si>
    <t>d-prime = z(prop hit) -z(prop fa)</t>
  </si>
  <si>
    <t>c = -z(prop hit) + z(prop fa)/2</t>
  </si>
  <si>
    <t xml:space="preserve">Signal Absent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</si>
</sst>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  <col customWidth="1" min="5" max="5" width="13.88"/>
  </cols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E3" s="1" t="s">
        <v>4</v>
      </c>
      <c r="F3" s="1" t="s">
        <v>5</v>
      </c>
    </row>
    <row r="4">
      <c r="A4" s="1" t="s">
        <v>6</v>
      </c>
      <c r="B4" s="1">
        <v>40.0</v>
      </c>
      <c r="C4" s="1">
        <v>11.0</v>
      </c>
      <c r="E4" s="1" t="s">
        <v>7</v>
      </c>
      <c r="F4" s="2">
        <f t="shared" ref="F4:F5" si="1">B4/(B4+C4)</f>
        <v>0.7843137255</v>
      </c>
    </row>
    <row r="5">
      <c r="A5" s="1" t="s">
        <v>8</v>
      </c>
      <c r="B5" s="1">
        <v>17.0</v>
      </c>
      <c r="C5" s="1">
        <v>32.0</v>
      </c>
      <c r="E5" s="1" t="s">
        <v>9</v>
      </c>
      <c r="F5" s="2">
        <f t="shared" si="1"/>
        <v>0.3469387755</v>
      </c>
    </row>
    <row r="6">
      <c r="E6" s="1" t="s">
        <v>10</v>
      </c>
      <c r="F6" s="2">
        <f>_xlfn.NORM.S.INV(F4)-_xlfn.NORM.S.INV(F5)</f>
        <v>1.180443514</v>
      </c>
    </row>
    <row r="7">
      <c r="E7" s="1" t="s">
        <v>11</v>
      </c>
      <c r="F7" s="2">
        <f>-(_xlfn.NORM.S.INV(F4)+_xlfn.NORM.S.INV(F5))/2</f>
        <v>-0.1966233414</v>
      </c>
    </row>
    <row r="10">
      <c r="A10" s="1" t="s">
        <v>12</v>
      </c>
      <c r="B10" s="1">
        <v>100.0</v>
      </c>
    </row>
    <row r="11">
      <c r="A11" s="1" t="s">
        <v>13</v>
      </c>
      <c r="B11" s="1">
        <v>40.0</v>
      </c>
    </row>
    <row r="12">
      <c r="A12" s="1" t="s">
        <v>14</v>
      </c>
      <c r="B12" s="1">
        <v>11.0</v>
      </c>
    </row>
    <row r="13">
      <c r="A13" s="1" t="s">
        <v>15</v>
      </c>
      <c r="B13" s="1">
        <v>17.0</v>
      </c>
    </row>
    <row r="14">
      <c r="A14" s="1" t="s">
        <v>16</v>
      </c>
      <c r="B14" s="1">
        <v>32.0</v>
      </c>
    </row>
    <row r="15">
      <c r="A15" s="1" t="s">
        <v>17</v>
      </c>
      <c r="B15" s="1">
        <v>0.7843</v>
      </c>
    </row>
    <row r="16">
      <c r="A16" s="1" t="s">
        <v>18</v>
      </c>
      <c r="B16" s="1">
        <v>0.3469</v>
      </c>
    </row>
    <row r="17">
      <c r="A17" s="1" t="s">
        <v>19</v>
      </c>
      <c r="B17" s="1">
        <v>1.1804</v>
      </c>
    </row>
    <row r="18">
      <c r="A18" s="1" t="s">
        <v>20</v>
      </c>
      <c r="B18" s="1">
        <v>-0.1966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3" t="s">
        <v>21</v>
      </c>
      <c r="C1" s="3" t="s">
        <v>22</v>
      </c>
      <c r="D1" s="3" t="s">
        <v>23</v>
      </c>
      <c r="E1" s="4">
        <f t="shared" ref="E1:E2" si="1">B7/(B7+C7)</f>
        <v>0.7843137255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24</v>
      </c>
      <c r="B2" s="3" t="s">
        <v>25</v>
      </c>
      <c r="C2" s="3" t="s">
        <v>26</v>
      </c>
      <c r="D2" s="3" t="s">
        <v>27</v>
      </c>
      <c r="E2" s="4">
        <f t="shared" si="1"/>
        <v>0.3469387755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8</v>
      </c>
      <c r="B3" s="3" t="s">
        <v>28</v>
      </c>
      <c r="C3" s="3" t="s">
        <v>29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 t="s">
        <v>2</v>
      </c>
      <c r="C6" s="3" t="s">
        <v>3</v>
      </c>
      <c r="D6" s="3" t="s">
        <v>30</v>
      </c>
      <c r="E6" s="4">
        <f>normsinv(E1)-normsinv(E2)</f>
        <v>1.180443514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24</v>
      </c>
      <c r="B7" s="4">
        <v>40.0</v>
      </c>
      <c r="C7" s="4">
        <v>11.0</v>
      </c>
      <c r="D7" s="3" t="s">
        <v>31</v>
      </c>
      <c r="E7" s="4">
        <f>-(normsinv(E1)+normsinv(E2))/2</f>
        <v>-0.1966233414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32</v>
      </c>
      <c r="B8" s="4">
        <v>17.0</v>
      </c>
      <c r="C8" s="4">
        <v>32.0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